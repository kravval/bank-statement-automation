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ЭтаКнига" defaultThemeVersion="166925"/>
  <mc:AlternateContent xmlns:mc="http://schemas.openxmlformats.org/markup-compatibility/2006">
    <mc:Choice Requires="x15">
      <x15ac:absPath xmlns:x15ac="http://schemas.microsoft.com/office/spreadsheetml/2010/11/ac" url="C:\Users\valk\Downloads\"/>
    </mc:Choice>
  </mc:AlternateContent>
  <xr:revisionPtr revIDLastSave="0" documentId="13_ncr:1_{19C95808-074E-4204-B6A6-77FC0B93B31F}" xr6:coauthVersionLast="47" xr6:coauthVersionMax="47" xr10:uidLastSave="{00000000-0000-0000-0000-000000000000}"/>
  <bookViews>
    <workbookView xWindow="-110" yWindow="-110" windowWidth="25420" windowHeight="16300" activeTab="1" xr2:uid="{D5CA26CE-9EEC-4977-BB11-A06D7CD562E3}"/>
  </bookViews>
  <sheets>
    <sheet name="Справочник" sheetId="2" r:id="rId1"/>
    <sheet name="Пример результата" sheetId="14" r:id="rId2"/>
    <sheet name="Выписки" sheetId="12" r:id="rId3"/>
    <sheet name="Параметры" sheetId="6" r:id="rId4"/>
  </sheets>
  <definedNames>
    <definedName name="ExternalData_1" localSheetId="2" hidden="1">Выписки!$A$1:$K$2</definedName>
    <definedName name="Справочник">Справочник!$A$6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6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92D5526-7EEE-485D-9A40-ED7EE82D4F4A}" keepAlive="1" name="Запрос — fOneSheet" description="Соединение с запросом &quot;fOneSheet&quot; в книге." type="5" refreshedVersion="0" background="1">
    <dbPr connection="Provider=Microsoft.Mashup.OleDb.1;Data Source=$Workbook$;Location=fOneSheet;Extended Properties=&quot;&quot;" command="SELECT * FROM [fOneSheet]"/>
  </connection>
  <connection id="2" xr16:uid="{79D91C28-F3FA-4181-AC2B-6178DE4D8B6F}" keepAlive="1" name="Запрос — pFile" description="Соединение с запросом &quot;pFile&quot; в книге." type="5" refreshedVersion="0" background="1">
    <dbPr connection="Provider=Microsoft.Mashup.OleDb.1;Data Source=$Workbook$;Location=pFile;Extended Properties=&quot;&quot;" command="SELECT * FROM [pFile]"/>
  </connection>
  <connection id="3" xr16:uid="{8C647B89-CB62-4859-A757-46C6C2BB4127}" keepAlive="1" name="Запрос — pSheet" description="Соединение с запросом &quot;pSheet&quot; в книге." type="5" refreshedVersion="0" background="1">
    <dbPr connection="Provider=Microsoft.Mashup.OleDb.1;Data Source=$Workbook$;Location=pSheet;Extended Properties=&quot;&quot;" command="SELECT * FROM [pSheet]"/>
  </connection>
  <connection id="4" xr16:uid="{604C9AB0-9216-48F7-9AB6-A1C396E3FE10}" keepAlive="1" name="Запрос — qOneSheet" description="Соединение с запросом &quot;qOneSheet&quot; в книге." type="5" refreshedVersion="0" background="1">
    <dbPr connection="Provider=Microsoft.Mashup.OleDb.1;Data Source=$Workbook$;Location=qOneSheet;Extended Properties=&quot;&quot;" command="SELECT * FROM [qOneSheet]"/>
  </connection>
  <connection id="5" xr16:uid="{22E65F24-6F61-4CEE-87A9-241A7CC8D84A}" keepAlive="1" name="Запрос — Выбор категории плательщика (контрагент)" description="Соединение с запросом &quot;Выбор категории плательщика (контрагент)&quot; в книге." type="5" refreshedVersion="0" background="1">
    <dbPr connection="Provider=Microsoft.Mashup.OleDb.1;Data Source=$Workbook$;Location=&quot;Выбор категории плательщика (контрагент)&quot;;Extended Properties=&quot;&quot;" command="SELECT * FROM [Выбор категории плательщика (контрагент)]"/>
  </connection>
  <connection id="6" xr16:uid="{2690A04E-9D8A-40C4-B731-A625C8F1A007}" keepAlive="1" name="Запрос — Выбор категории по назначению (назначение платежа)" description="Соединение с запросом &quot;Выбор категории по назначению (назначение платежа)&quot; в книге." type="5" refreshedVersion="0" background="1">
    <dbPr connection="Provider=Microsoft.Mashup.OleDb.1;Data Source=$Workbook$;Location=&quot;Выбор категории по назначению (назначение платежа)&quot;;Extended Properties=&quot;&quot;" command="SELECT * FROM [Выбор категории по назначению (назначение платежа)]"/>
  </connection>
  <connection id="7" xr16:uid="{AAAA856D-E715-4E98-9A64-52C426F4F64C}" keepAlive="1" name="Запрос — Выбор услуги" description="Соединение с запросом &quot;Выбор услуги&quot; в книге." type="5" refreshedVersion="0" background="1">
    <dbPr connection="Provider=Microsoft.Mashup.OleDb.1;Data Source=$Workbook$;Location=&quot;Выбор услуги&quot;;Extended Properties=&quot;&quot;" command="SELECT * FROM [Выбор услуги]"/>
  </connection>
  <connection id="8" xr16:uid="{35760246-B6FF-49A6-8E1D-752C79B88D63}" keepAlive="1" name="Запрос — Выбор филиала" description="Соединение с запросом &quot;Выбор филиала&quot; в книге." type="5" refreshedVersion="0" background="1">
    <dbPr connection="Provider=Microsoft.Mashup.OleDb.1;Data Source=$Workbook$;Location=&quot;Выбор филиала&quot;;Extended Properties=&quot;&quot;" command="SELECT * FROM [Выбор филиала]"/>
  </connection>
  <connection id="9" xr16:uid="{796523D0-33AB-4762-84DF-9AE543EF7A1F}" keepAlive="1" name="Запрос — Выписки" description="Соединение с запросом &quot;Выписки&quot; в книге." type="5" refreshedVersion="8" background="1" saveData="1">
    <dbPr connection="Provider=Microsoft.Mashup.OleDb.1;Data Source=$Workbook$;Location=Выписки;Extended Properties=&quot;&quot;" command="SELECT * FROM [Выписки]"/>
  </connection>
  <connection id="10" xr16:uid="{1F6535FE-05A8-470D-A037-BC8A3FF0C962}" keepAlive="1" name="Запрос — Примечание" description="Соединение с запросом &quot;Примечание&quot; в книге." type="5" refreshedVersion="0" background="1">
    <dbPr connection="Provider=Microsoft.Mashup.OleDb.1;Data Source=$Workbook$;Location=Примечание;Extended Properties=&quot;&quot;" command="SELECT * FROM [Примечание]"/>
  </connection>
  <connection id="11" xr16:uid="{84BC61A4-C309-4CFF-9B34-7A5A48C260F8}" keepAlive="1" name="Запрос — Справочник" description="Соединение с запросом &quot;Справочник&quot; в книге." type="5" refreshedVersion="0" background="1">
    <dbPr connection="Provider=Microsoft.Mashup.OleDb.1;Data Source=$Workbook$;Location=Справочник;Extended Properties=&quot;&quot;" command="SELECT * FROM [Справочник]"/>
  </connection>
</connections>
</file>

<file path=xl/sharedStrings.xml><?xml version="1.0" encoding="utf-8"?>
<sst xmlns="http://schemas.openxmlformats.org/spreadsheetml/2006/main" count="129" uniqueCount="79">
  <si>
    <t>Value</t>
  </si>
  <si>
    <t>Было</t>
  </si>
  <si>
    <t>Стало</t>
  </si>
  <si>
    <t>Дата проводки</t>
  </si>
  <si>
    <t>Дата</t>
  </si>
  <si>
    <t>Счет</t>
  </si>
  <si>
    <t>Контрагент</t>
  </si>
  <si>
    <t>Сумма по кредиту</t>
  </si>
  <si>
    <t>Кредит</t>
  </si>
  <si>
    <t>Сумма</t>
  </si>
  <si>
    <t>№ п/п</t>
  </si>
  <si>
    <t>№ документа</t>
  </si>
  <si>
    <t>№ док.</t>
  </si>
  <si>
    <t>Номер</t>
  </si>
  <si>
    <t>Назначение</t>
  </si>
  <si>
    <t>Назначение платежа</t>
  </si>
  <si>
    <t>Кредит, RUR</t>
  </si>
  <si>
    <t>Path</t>
  </si>
  <si>
    <t>Param</t>
  </si>
  <si>
    <t>№                        документа</t>
  </si>
  <si>
    <t>Банк</t>
  </si>
  <si>
    <t>Филиал</t>
  </si>
  <si>
    <t>Категория</t>
  </si>
  <si>
    <t>Услуга</t>
  </si>
  <si>
    <t>Примечание</t>
  </si>
  <si>
    <t>Пользовательский</t>
  </si>
  <si>
    <t>Bank A</t>
  </si>
  <si>
    <t>ООО "УК Комфорт"</t>
  </si>
  <si>
    <t>Branch_A</t>
  </si>
  <si>
    <t>УК</t>
  </si>
  <si>
    <t>Основной вид деятельности</t>
  </si>
  <si>
    <t>Оплата за водоснабжение и водоотведение по дог. 2-0200-0015 за декабрь 2023</t>
  </si>
  <si>
    <t>2-0200-0015</t>
  </si>
  <si>
    <t>ИП Сидоров А.В.</t>
  </si>
  <si>
    <t>Branch_B</t>
  </si>
  <si>
    <t>ЮЛ</t>
  </si>
  <si>
    <t>Оплата за ХВС по дог. 2-0300-0042 за декабрь 2023</t>
  </si>
  <si>
    <t>2-0300-0042</t>
  </si>
  <si>
    <t>Bank B</t>
  </si>
  <si>
    <t>ТСЖ "Рассвет"</t>
  </si>
  <si>
    <t>Водоснабжение и водоотведение по дог. 2-0200-0008 за дек 2023</t>
  </si>
  <si>
    <t>2-0200-0008</t>
  </si>
  <si>
    <t>Администрация г. Примерск</t>
  </si>
  <si>
    <t>Branch_C</t>
  </si>
  <si>
    <t>Местный бюджет</t>
  </si>
  <si>
    <t>Субсидия</t>
  </si>
  <si>
    <t>Субс. на возмещение предприятиям ЖКХ по дог. 14/2024</t>
  </si>
  <si>
    <t>Bank C</t>
  </si>
  <si>
    <t>ФГБУ "Росводоканал"</t>
  </si>
  <si>
    <t>Branch_D</t>
  </si>
  <si>
    <t>Федеральный бюджет</t>
  </si>
  <si>
    <t>Негативное воздействие</t>
  </si>
  <si>
    <t>НГВ за 4 квартал 2023 по дог. 2-0500-0003</t>
  </si>
  <si>
    <t>2-0500-0003</t>
  </si>
  <si>
    <t>Несколько категорий</t>
  </si>
  <si>
    <t>Несколько видов деятельности</t>
  </si>
  <si>
    <t>Эквайринг</t>
  </si>
  <si>
    <t>Эквайринг за 14.01.2024 реестр №1842</t>
  </si>
  <si>
    <t>Иванова М.К.</t>
  </si>
  <si>
    <t>Население</t>
  </si>
  <si>
    <t>ИВЦ</t>
  </si>
  <si>
    <t>ЛС 0300-44821 оплата за водоснабжение за дек 2023 ИВЦ ЖКХ</t>
  </si>
  <si>
    <t>ООО "АкваСтрой"</t>
  </si>
  <si>
    <t>Прочая деятельность</t>
  </si>
  <si>
    <t>Тех. присоединение к центральной системе водоснабжения по дог. ТП-24/001</t>
  </si>
  <si>
    <t>Bank D</t>
  </si>
  <si>
    <t>МБОУ Школа №5</t>
  </si>
  <si>
    <t>Оплата за водоснабжение по дог. 2-0400-0091 за январь 2024</t>
  </si>
  <si>
    <t>2-0400-0091</t>
  </si>
  <si>
    <t>Судебные приставы</t>
  </si>
  <si>
    <t>Взыскание по ИД судебный приказ №2-1547/2023 ГУФССП</t>
  </si>
  <si>
    <t>ООО "Водоканал-Сервис"</t>
  </si>
  <si>
    <t>Транспортировка сточных вод по дог. 2-0500-0017 за январь 2024</t>
  </si>
  <si>
    <t>2-0500-0017</t>
  </si>
  <si>
    <t>ЖСК "Надежда"</t>
  </si>
  <si>
    <t>ЕРКЦ</t>
  </si>
  <si>
    <t>Водоснабжение ОДН за январь 2024 ЕРКЦ реестр 2-0200-0022</t>
  </si>
  <si>
    <t>2-0200-0022</t>
  </si>
  <si>
    <t>Статический пример результата работы запроса. Для получения реальных данных поместите файлы банковских выписок в папку и нажмите «Обновить всё» на листе «Выписки».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</si>
</sst>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0" fontId="1" fillId="0" borderId="0" xfId="0" applyFont="1"/>
  </cellXfs>
  <cellStyles count="1">
    <cellStyle name="Обычный" xfId="0" builtinId="0"/>
  </cellStyles>
  <dxfs count="35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4" formatCode="#,##0.00"/>
      <alignment horizontal="center" vertical="center" textRotation="0" wrapText="1" indent="0" justifyLastLine="0" shrinkToFit="0" readingOrder="0"/>
    </dxf>
    <dxf>
      <numFmt numFmtId="4" formatCode="#,##0.00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19" formatCode="dd/mm/yyyy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4" formatCode="#,##0.00"/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numFmt numFmtId="19" formatCode="dd/mm/yyyy"/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9" xr16:uid="{2282A955-633C-4427-AFAF-40A9063F1D60}" autoFormatId="16" applyNumberFormats="0" applyBorderFormats="0" applyFontFormats="0" applyPatternFormats="0" applyAlignmentFormats="0" applyWidthHeightFormats="0">
  <queryTableRefresh nextId="13">
    <queryTableFields count="11">
      <queryTableField id="1" name="Дата" tableColumnId="1"/>
      <queryTableField id="2" name="Банк" tableColumnId="2"/>
      <queryTableField id="3" name="Контрагент" tableColumnId="3"/>
      <queryTableField id="4" name="Филиал" tableColumnId="4"/>
      <queryTableField id="5" name="Категория" tableColumnId="5"/>
      <queryTableField id="6" name="Услуга" tableColumnId="6"/>
      <queryTableField id="7" name="Примечание" tableColumnId="7"/>
      <queryTableField id="8" name="№ п/п" tableColumnId="8"/>
      <queryTableField id="9" name="Сумма" tableColumnId="9"/>
      <queryTableField id="10" name="Назначение платежа" tableColumnId="10"/>
      <queryTableField id="12" name="Пользовательский" tableColumnId="11"/>
    </queryTableFields>
    <queryTableDeletedFields count="1">
      <deletedField name="Пользовательский"/>
    </queryTableDeleted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3C6E136-EF2A-4ED5-ACF6-72A5205236A8}" name="Таблица2" displayName="Таблица2" ref="A1:B11" totalsRowShown="0">
  <autoFilter ref="A1:B11" xr:uid="{83C6E136-EF2A-4ED5-ACF6-72A5205236A8}"/>
  <tableColumns count="2">
    <tableColumn id="1" xr3:uid="{9303D6F9-29EB-423C-AC8A-1D6E7BB3CD42}" name="Было"/>
    <tableColumn id="2" xr3:uid="{FE6BD16D-4289-4E58-BE05-0BC2487CC4EC}" name="Стало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06305DD-0133-4FDF-884E-4B1097968AD2}" name="Таблица4" displayName="Таблица4" ref="A2:K14" totalsRowShown="0" headerRowDxfId="34" dataDxfId="33">
  <autoFilter ref="A2:K14" xr:uid="{A06305DD-0133-4FDF-884E-4B1097968AD2}"/>
  <tableColumns count="11">
    <tableColumn id="1" xr3:uid="{6025B9FD-DD77-478E-B787-EBD8F4720C8A}" name="Дата" dataDxfId="32"/>
    <tableColumn id="2" xr3:uid="{91A88576-B0E9-4CB3-A941-EFAF1D581BA9}" name="Банк" dataDxfId="31"/>
    <tableColumn id="3" xr3:uid="{9A4D9008-19C3-4CF4-A959-841F130DC9F8}" name="Контрагент" dataDxfId="30"/>
    <tableColumn id="4" xr3:uid="{EB7C4C8C-51B4-4FFB-966F-5FFAE64A13EA}" name="Филиал" dataDxfId="29"/>
    <tableColumn id="5" xr3:uid="{DBB754F0-5C40-4FD2-9A02-60B83B6AF874}" name="Категория" dataDxfId="28"/>
    <tableColumn id="6" xr3:uid="{8A650F43-FF3C-467E-979A-08BB7ED2A4EB}" name="Услуга" dataDxfId="27"/>
    <tableColumn id="7" xr3:uid="{D1F6C5BA-3CAE-402B-A003-382F9DE4834F}" name="Примечание" dataDxfId="26"/>
    <tableColumn id="8" xr3:uid="{AEAD0436-5132-4AFA-A5AB-A667ED8D4925}" name="№ п/п" dataDxfId="25"/>
    <tableColumn id="9" xr3:uid="{08D196B8-7286-43B8-A503-9654C6B6D88D}" name="Сумма" dataDxfId="24"/>
    <tableColumn id="10" xr3:uid="{419F46FB-6EC1-4714-AF1F-AF45DE1140C3}" name="Назначение платежа" dataDxfId="23"/>
    <tableColumn id="11" xr3:uid="{FCF1EC54-00B9-4D2A-8F69-0617253109C8}" name="Пользовательский" dataDxfId="22"/>
  </tableColumns>
  <tableStyleInfo name="TableStyleMedium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0BC960C-0EC3-41B2-83D4-570BC0BE5F37}" name="Выписки" displayName="Выписки" ref="A1:K2" tableType="queryTable" insertRow="1" headerRowDxfId="21" dataDxfId="20">
  <autoFilter ref="A1:K2" xr:uid="{50BC960C-0EC3-41B2-83D4-570BC0BE5F37}"/>
  <tableColumns count="11">
    <tableColumn id="1" xr3:uid="{0752AAF5-9C39-4DF1-B296-FC90ECB5A571}" uniqueName="1" name="Дата" totalsRowLabel="Итог" queryTableFieldId="1" dataDxfId="19" totalsRowDxfId="18"/>
    <tableColumn id="2" xr3:uid="{4CA073F9-2876-4796-9879-FBD064153788}" uniqueName="2" name="Банк" queryTableFieldId="2" dataDxfId="17" totalsRowDxfId="16"/>
    <tableColumn id="3" xr3:uid="{BE72230D-6D25-414A-B9C8-CB0122F57F66}" uniqueName="3" name="Контрагент" queryTableFieldId="3" dataDxfId="15" totalsRowDxfId="14"/>
    <tableColumn id="4" xr3:uid="{A3DABFBC-0E28-4657-A07D-CE6AC2D14B94}" uniqueName="4" name="Филиал" queryTableFieldId="4" dataDxfId="13" totalsRowDxfId="12"/>
    <tableColumn id="5" xr3:uid="{8220CBDC-759C-45FB-A549-D9050B64C34B}" uniqueName="5" name="Категория" queryTableFieldId="5" dataDxfId="11" totalsRowDxfId="10"/>
    <tableColumn id="6" xr3:uid="{DDCB4F95-D113-407F-969D-0DE193E7D8AF}" uniqueName="6" name="Услуга" queryTableFieldId="6" dataDxfId="9" totalsRowDxfId="8"/>
    <tableColumn id="7" xr3:uid="{B2ACC87D-F1CB-420A-B5C6-56ED3E989518}" uniqueName="7" name="Примечание" queryTableFieldId="7" dataDxfId="7" totalsRowDxfId="6"/>
    <tableColumn id="8" xr3:uid="{40CA3AE0-1F3D-4F32-B793-BFA5EA189730}" uniqueName="8" name="№ п/п" queryTableFieldId="8" dataDxfId="5" totalsRowDxfId="4"/>
    <tableColumn id="9" xr3:uid="{D1008CEA-8967-4FC5-B1EC-6EBC8CB51918}" uniqueName="9" name="Сумма" totalsRowFunction="sum" queryTableFieldId="9" dataDxfId="3" totalsRowDxfId="2"/>
    <tableColumn id="10" xr3:uid="{35AB4DCC-FE47-4134-B445-4D4496B905FF}" uniqueName="10" name="Назначение платежа" totalsRowFunction="count" queryTableFieldId="10" dataDxfId="1" totalsRowDxfId="0"/>
    <tableColumn id="11" xr3:uid="{59B622E3-CD33-4944-9A95-720EDDE12D7C}" uniqueName="11" name="Пользовательский" queryTableFieldId="12"/>
  </tableColumns>
  <tableStyleInfo name="TableStyleMedium13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8FAC3E6-4BA6-434A-99F1-D7CC54B2BEC6}" name="tParam" displayName="tParam" ref="A1:B2" totalsRowShown="0">
  <autoFilter ref="A1:B2" xr:uid="{D8FAC3E6-4BA6-434A-99F1-D7CC54B2BEC6}"/>
  <tableColumns count="2">
    <tableColumn id="1" xr3:uid="{95FE9ACB-7FA3-4FE4-BBCA-843EEAEB8E72}" name="Param"/>
    <tableColumn id="2" xr3:uid="{B5F1B212-1617-4874-BDE0-630697443984}" name="Value">
      <calculatedColumnFormula>LEFT(CELL("filename",A1),FIND("[",CELL("filename",A1))-1)&amp;"Название папки\"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8A813-56FC-433E-94CE-E6F7ABC7B1F5}">
  <sheetPr codeName="Лист1"/>
  <dimension ref="A1:B11"/>
  <sheetViews>
    <sheetView workbookViewId="0">
      <selection activeCell="B38" sqref="B38"/>
    </sheetView>
  </sheetViews>
  <sheetFormatPr defaultRowHeight="14.5" x14ac:dyDescent="0.35"/>
  <cols>
    <col min="1" max="1" width="17.81640625" bestFit="1" customWidth="1"/>
    <col min="2" max="2" width="20.26953125" bestFit="1" customWidth="1"/>
  </cols>
  <sheetData>
    <row r="1" spans="1:2" x14ac:dyDescent="0.35">
      <c r="A1" t="s">
        <v>1</v>
      </c>
      <c r="B1" t="s">
        <v>2</v>
      </c>
    </row>
    <row r="2" spans="1:2" x14ac:dyDescent="0.35">
      <c r="A2" t="s">
        <v>3</v>
      </c>
      <c r="B2" t="s">
        <v>4</v>
      </c>
    </row>
    <row r="3" spans="1:2" x14ac:dyDescent="0.35">
      <c r="A3" t="s">
        <v>5</v>
      </c>
      <c r="B3" t="s">
        <v>6</v>
      </c>
    </row>
    <row r="4" spans="1:2" x14ac:dyDescent="0.35">
      <c r="A4" t="s">
        <v>7</v>
      </c>
      <c r="B4" t="s">
        <v>9</v>
      </c>
    </row>
    <row r="5" spans="1:2" x14ac:dyDescent="0.35">
      <c r="A5" t="s">
        <v>8</v>
      </c>
      <c r="B5" t="s">
        <v>9</v>
      </c>
    </row>
    <row r="6" spans="1:2" x14ac:dyDescent="0.35">
      <c r="A6" t="s">
        <v>11</v>
      </c>
      <c r="B6" t="s">
        <v>10</v>
      </c>
    </row>
    <row r="7" spans="1:2" x14ac:dyDescent="0.35">
      <c r="A7" t="s">
        <v>12</v>
      </c>
      <c r="B7" t="s">
        <v>10</v>
      </c>
    </row>
    <row r="8" spans="1:2" x14ac:dyDescent="0.35">
      <c r="A8" t="s">
        <v>13</v>
      </c>
      <c r="B8" t="s">
        <v>10</v>
      </c>
    </row>
    <row r="9" spans="1:2" x14ac:dyDescent="0.35">
      <c r="A9" t="s">
        <v>14</v>
      </c>
      <c r="B9" t="s">
        <v>15</v>
      </c>
    </row>
    <row r="10" spans="1:2" x14ac:dyDescent="0.35">
      <c r="A10" t="s">
        <v>16</v>
      </c>
      <c r="B10" t="s">
        <v>9</v>
      </c>
    </row>
    <row r="11" spans="1:2" x14ac:dyDescent="0.35">
      <c r="A11" t="s">
        <v>19</v>
      </c>
      <c r="B11" t="s">
        <v>10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C93B5-F226-4AFF-BD6A-451D966B843D}">
  <dimension ref="A1:K14"/>
  <sheetViews>
    <sheetView tabSelected="1" workbookViewId="0"/>
  </sheetViews>
  <sheetFormatPr defaultRowHeight="14.5" x14ac:dyDescent="0.35"/>
  <cols>
    <col min="1" max="1" width="9.90625" bestFit="1" customWidth="1"/>
    <col min="2" max="2" width="7.26953125" bestFit="1" customWidth="1"/>
    <col min="3" max="3" width="25.7265625" bestFit="1" customWidth="1"/>
    <col min="4" max="4" width="9.90625" bestFit="1" customWidth="1"/>
    <col min="5" max="5" width="20.26953125" bestFit="1" customWidth="1"/>
    <col min="6" max="6" width="28" bestFit="1" customWidth="1"/>
    <col min="7" max="7" width="18.26953125" bestFit="1" customWidth="1"/>
    <col min="8" max="8" width="8.6328125" bestFit="1" customWidth="1"/>
    <col min="9" max="9" width="9.7265625" bestFit="1" customWidth="1"/>
    <col min="10" max="10" width="46.54296875" customWidth="1"/>
    <col min="11" max="11" width="19.08984375" customWidth="1"/>
  </cols>
  <sheetData>
    <row r="1" spans="1:11" ht="29.5" customHeight="1" x14ac:dyDescent="0.35">
      <c r="A1" s="7" t="s">
        <v>78</v>
      </c>
    </row>
    <row r="2" spans="1:11" x14ac:dyDescent="0.35">
      <c r="A2" s="4" t="s">
        <v>4</v>
      </c>
      <c r="B2" s="4" t="s">
        <v>20</v>
      </c>
      <c r="C2" s="4" t="s">
        <v>6</v>
      </c>
      <c r="D2" s="4" t="s">
        <v>21</v>
      </c>
      <c r="E2" s="4" t="s">
        <v>22</v>
      </c>
      <c r="F2" s="4" t="s">
        <v>23</v>
      </c>
      <c r="G2" s="4" t="s">
        <v>24</v>
      </c>
      <c r="H2" s="4" t="s">
        <v>10</v>
      </c>
      <c r="I2" s="4" t="s">
        <v>9</v>
      </c>
      <c r="J2" s="4" t="s">
        <v>15</v>
      </c>
      <c r="K2" s="4" t="s">
        <v>25</v>
      </c>
    </row>
    <row r="3" spans="1:11" ht="29" x14ac:dyDescent="0.35">
      <c r="A3" s="5">
        <v>45294</v>
      </c>
      <c r="B3" s="4" t="s">
        <v>26</v>
      </c>
      <c r="C3" s="4" t="s">
        <v>27</v>
      </c>
      <c r="D3" s="4" t="s">
        <v>28</v>
      </c>
      <c r="E3" s="4" t="s">
        <v>29</v>
      </c>
      <c r="F3" s="4" t="s">
        <v>30</v>
      </c>
      <c r="G3" s="4"/>
      <c r="H3" s="4">
        <v>101</v>
      </c>
      <c r="I3" s="6">
        <v>45230.5</v>
      </c>
      <c r="J3" s="1" t="s">
        <v>31</v>
      </c>
      <c r="K3" s="4" t="s">
        <v>32</v>
      </c>
    </row>
    <row r="4" spans="1:11" x14ac:dyDescent="0.35">
      <c r="A4" s="5">
        <v>45296</v>
      </c>
      <c r="B4" s="4" t="s">
        <v>26</v>
      </c>
      <c r="C4" s="4" t="s">
        <v>33</v>
      </c>
      <c r="D4" s="4" t="s">
        <v>34</v>
      </c>
      <c r="E4" s="4" t="s">
        <v>35</v>
      </c>
      <c r="F4" s="4" t="s">
        <v>30</v>
      </c>
      <c r="G4" s="4"/>
      <c r="H4" s="4">
        <v>102</v>
      </c>
      <c r="I4" s="6">
        <v>12890</v>
      </c>
      <c r="J4" s="1" t="s">
        <v>36</v>
      </c>
      <c r="K4" s="4" t="s">
        <v>37</v>
      </c>
    </row>
    <row r="5" spans="1:11" ht="29" x14ac:dyDescent="0.35">
      <c r="A5" s="5">
        <v>45299</v>
      </c>
      <c r="B5" s="4" t="s">
        <v>38</v>
      </c>
      <c r="C5" s="4" t="s">
        <v>39</v>
      </c>
      <c r="D5" s="4" t="s">
        <v>28</v>
      </c>
      <c r="E5" s="4" t="s">
        <v>29</v>
      </c>
      <c r="F5" s="4" t="s">
        <v>30</v>
      </c>
      <c r="G5" s="4"/>
      <c r="H5" s="4">
        <v>201</v>
      </c>
      <c r="I5" s="6">
        <v>98400</v>
      </c>
      <c r="J5" s="1" t="s">
        <v>40</v>
      </c>
      <c r="K5" s="4" t="s">
        <v>41</v>
      </c>
    </row>
    <row r="6" spans="1:11" ht="29" x14ac:dyDescent="0.35">
      <c r="A6" s="5">
        <v>45301</v>
      </c>
      <c r="B6" s="4" t="s">
        <v>26</v>
      </c>
      <c r="C6" s="4" t="s">
        <v>42</v>
      </c>
      <c r="D6" s="4" t="s">
        <v>43</v>
      </c>
      <c r="E6" s="4" t="s">
        <v>44</v>
      </c>
      <c r="F6" s="4" t="s">
        <v>45</v>
      </c>
      <c r="G6" s="4"/>
      <c r="H6" s="4">
        <v>103</v>
      </c>
      <c r="I6" s="6">
        <v>250000</v>
      </c>
      <c r="J6" s="1" t="s">
        <v>46</v>
      </c>
      <c r="K6" s="4"/>
    </row>
    <row r="7" spans="1:11" x14ac:dyDescent="0.35">
      <c r="A7" s="5">
        <v>45303</v>
      </c>
      <c r="B7" s="4" t="s">
        <v>47</v>
      </c>
      <c r="C7" s="4" t="s">
        <v>48</v>
      </c>
      <c r="D7" s="4" t="s">
        <v>49</v>
      </c>
      <c r="E7" s="4" t="s">
        <v>50</v>
      </c>
      <c r="F7" s="4" t="s">
        <v>51</v>
      </c>
      <c r="G7" s="4"/>
      <c r="H7" s="4">
        <v>301</v>
      </c>
      <c r="I7" s="6">
        <v>15670</v>
      </c>
      <c r="J7" s="1" t="s">
        <v>52</v>
      </c>
      <c r="K7" s="4" t="s">
        <v>53</v>
      </c>
    </row>
    <row r="8" spans="1:11" x14ac:dyDescent="0.35">
      <c r="A8" s="5">
        <v>45306</v>
      </c>
      <c r="B8" s="4" t="s">
        <v>26</v>
      </c>
      <c r="C8" s="4"/>
      <c r="D8" s="4" t="s">
        <v>28</v>
      </c>
      <c r="E8" s="4" t="s">
        <v>54</v>
      </c>
      <c r="F8" s="4" t="s">
        <v>55</v>
      </c>
      <c r="G8" s="4" t="s">
        <v>56</v>
      </c>
      <c r="H8" s="4">
        <v>104</v>
      </c>
      <c r="I8" s="6">
        <v>7845.3</v>
      </c>
      <c r="J8" s="1" t="s">
        <v>57</v>
      </c>
      <c r="K8" s="4"/>
    </row>
    <row r="9" spans="1:11" ht="29" x14ac:dyDescent="0.35">
      <c r="A9" s="5">
        <v>45308</v>
      </c>
      <c r="B9" s="4" t="s">
        <v>38</v>
      </c>
      <c r="C9" s="4" t="s">
        <v>58</v>
      </c>
      <c r="D9" s="4" t="s">
        <v>34</v>
      </c>
      <c r="E9" s="4" t="s">
        <v>59</v>
      </c>
      <c r="F9" s="4" t="s">
        <v>30</v>
      </c>
      <c r="G9" s="4" t="s">
        <v>60</v>
      </c>
      <c r="H9" s="4">
        <v>202</v>
      </c>
      <c r="I9" s="6">
        <v>3250.8</v>
      </c>
      <c r="J9" s="1" t="s">
        <v>61</v>
      </c>
      <c r="K9" s="4"/>
    </row>
    <row r="10" spans="1:11" ht="29" x14ac:dyDescent="0.35">
      <c r="A10" s="5">
        <v>45310</v>
      </c>
      <c r="B10" s="4" t="s">
        <v>26</v>
      </c>
      <c r="C10" s="4" t="s">
        <v>62</v>
      </c>
      <c r="D10" s="4" t="s">
        <v>28</v>
      </c>
      <c r="E10" s="4" t="s">
        <v>35</v>
      </c>
      <c r="F10" s="4" t="s">
        <v>63</v>
      </c>
      <c r="G10" s="4"/>
      <c r="H10" s="4">
        <v>105</v>
      </c>
      <c r="I10" s="6">
        <v>87600</v>
      </c>
      <c r="J10" s="1" t="s">
        <v>64</v>
      </c>
      <c r="K10" s="4"/>
    </row>
    <row r="11" spans="1:11" ht="29" x14ac:dyDescent="0.35">
      <c r="A11" s="5">
        <v>45313</v>
      </c>
      <c r="B11" s="4" t="s">
        <v>65</v>
      </c>
      <c r="C11" s="4" t="s">
        <v>66</v>
      </c>
      <c r="D11" s="4" t="s">
        <v>43</v>
      </c>
      <c r="E11" s="4" t="s">
        <v>44</v>
      </c>
      <c r="F11" s="4" t="s">
        <v>30</v>
      </c>
      <c r="G11" s="4"/>
      <c r="H11" s="4">
        <v>401</v>
      </c>
      <c r="I11" s="6">
        <v>18920</v>
      </c>
      <c r="J11" s="1" t="s">
        <v>67</v>
      </c>
      <c r="K11" s="4" t="s">
        <v>68</v>
      </c>
    </row>
    <row r="12" spans="1:11" ht="29" x14ac:dyDescent="0.35">
      <c r="A12" s="5">
        <v>45316</v>
      </c>
      <c r="B12" s="4" t="s">
        <v>26</v>
      </c>
      <c r="C12" s="4"/>
      <c r="D12" s="4" t="s">
        <v>34</v>
      </c>
      <c r="E12" s="4" t="s">
        <v>59</v>
      </c>
      <c r="F12" s="4" t="s">
        <v>30</v>
      </c>
      <c r="G12" s="4" t="s">
        <v>69</v>
      </c>
      <c r="H12" s="4">
        <v>106</v>
      </c>
      <c r="I12" s="6">
        <v>5430</v>
      </c>
      <c r="J12" s="1" t="s">
        <v>70</v>
      </c>
      <c r="K12" s="4"/>
    </row>
    <row r="13" spans="1:11" ht="29" x14ac:dyDescent="0.35">
      <c r="A13" s="5">
        <v>45319</v>
      </c>
      <c r="B13" s="4" t="s">
        <v>38</v>
      </c>
      <c r="C13" s="4" t="s">
        <v>71</v>
      </c>
      <c r="D13" s="4" t="s">
        <v>49</v>
      </c>
      <c r="E13" s="4" t="s">
        <v>35</v>
      </c>
      <c r="F13" s="4" t="s">
        <v>30</v>
      </c>
      <c r="G13" s="4"/>
      <c r="H13" s="4">
        <v>203</v>
      </c>
      <c r="I13" s="6">
        <v>142300</v>
      </c>
      <c r="J13" s="1" t="s">
        <v>72</v>
      </c>
      <c r="K13" s="4" t="s">
        <v>73</v>
      </c>
    </row>
    <row r="14" spans="1:11" ht="29" x14ac:dyDescent="0.35">
      <c r="A14" s="5">
        <v>45321</v>
      </c>
      <c r="B14" s="4" t="s">
        <v>26</v>
      </c>
      <c r="C14" s="4" t="s">
        <v>74</v>
      </c>
      <c r="D14" s="4" t="s">
        <v>28</v>
      </c>
      <c r="E14" s="4" t="s">
        <v>29</v>
      </c>
      <c r="F14" s="4" t="s">
        <v>30</v>
      </c>
      <c r="G14" s="4" t="s">
        <v>75</v>
      </c>
      <c r="H14" s="4">
        <v>107</v>
      </c>
      <c r="I14" s="6">
        <v>67850</v>
      </c>
      <c r="J14" s="1" t="s">
        <v>76</v>
      </c>
      <c r="K14" s="4" t="s">
        <v>77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872A5-BB43-46D2-BF86-12DE50CC9703}">
  <dimension ref="A1:K2"/>
  <sheetViews>
    <sheetView workbookViewId="0">
      <selection sqref="A1:K2"/>
    </sheetView>
  </sheetViews>
  <sheetFormatPr defaultRowHeight="14.5" x14ac:dyDescent="0.35"/>
  <cols>
    <col min="1" max="1" width="10.1796875" bestFit="1" customWidth="1"/>
    <col min="2" max="2" width="13.7265625" bestFit="1" customWidth="1"/>
    <col min="3" max="3" width="24.1796875" customWidth="1"/>
    <col min="4" max="4" width="18.453125" bestFit="1" customWidth="1"/>
    <col min="5" max="5" width="22" bestFit="1" customWidth="1"/>
    <col min="6" max="6" width="16.7265625" bestFit="1" customWidth="1"/>
    <col min="7" max="7" width="17.26953125" bestFit="1" customWidth="1"/>
    <col min="8" max="8" width="11.453125" bestFit="1" customWidth="1"/>
    <col min="9" max="9" width="12.453125" bestFit="1" customWidth="1"/>
    <col min="10" max="10" width="30.453125" customWidth="1"/>
    <col min="11" max="11" width="21.54296875" bestFit="1" customWidth="1"/>
  </cols>
  <sheetData>
    <row r="1" spans="1:11" x14ac:dyDescent="0.35">
      <c r="A1" s="1" t="s">
        <v>4</v>
      </c>
      <c r="B1" s="1" t="s">
        <v>20</v>
      </c>
      <c r="C1" s="1" t="s">
        <v>6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10</v>
      </c>
      <c r="I1" s="1" t="s">
        <v>9</v>
      </c>
      <c r="J1" s="1" t="s">
        <v>15</v>
      </c>
      <c r="K1" t="s">
        <v>25</v>
      </c>
    </row>
    <row r="2" spans="1:11" x14ac:dyDescent="0.35">
      <c r="A2" s="2"/>
      <c r="B2" s="1"/>
      <c r="C2" s="1"/>
      <c r="D2" s="1"/>
      <c r="E2" s="1"/>
      <c r="F2" s="1"/>
      <c r="G2" s="1"/>
      <c r="H2" s="1"/>
      <c r="I2" s="3"/>
      <c r="J2" s="1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D46EC-18E0-4711-9296-56063014C9F7}">
  <sheetPr codeName="Лист3"/>
  <dimension ref="A1:B2"/>
  <sheetViews>
    <sheetView workbookViewId="0">
      <selection activeCell="B3" sqref="B3"/>
    </sheetView>
  </sheetViews>
  <sheetFormatPr defaultRowHeight="14.5" x14ac:dyDescent="0.35"/>
  <sheetData>
    <row r="1" spans="1:2" x14ac:dyDescent="0.35">
      <c r="A1" t="s">
        <v>18</v>
      </c>
      <c r="B1" t="s">
        <v>0</v>
      </c>
    </row>
    <row r="2" spans="1:2" ht="15.75" customHeight="1" x14ac:dyDescent="0.35">
      <c r="A2" t="s">
        <v>17</v>
      </c>
      <c r="B2" t="str">
        <f ca="1">LEFT(CELL("filename",A1),FIND("[",CELL("filename",A1))-1)&amp;"Название папки\"</f>
        <v>C:\Users\valk\Downloads\Название папки\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715D962-E6BF-4F84-968C-CBE037C62AE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1</vt:i4>
      </vt:variant>
    </vt:vector>
  </HeadingPairs>
  <TitlesOfParts>
    <vt:vector size="5" baseType="lpstr">
      <vt:lpstr>Справочник</vt:lpstr>
      <vt:lpstr>Пример результата</vt:lpstr>
      <vt:lpstr>Выписки</vt:lpstr>
      <vt:lpstr>Параметры</vt:lpstr>
      <vt:lpstr>Справочник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Валерий Кравченко</dc:creator>
  <cp:lastModifiedBy>My+Office</cp:lastModifiedBy>
  <cp:lastPrinted>2024-09-19T11:17:54Z</cp:lastPrinted>
  <dcterms:created xsi:type="dcterms:W3CDTF">2023-10-30T07:09:15Z</dcterms:created>
  <dcterms:modified xsi:type="dcterms:W3CDTF">2026-04-06T17:56:20Z</dcterms:modified>
</cp:coreProperties>
</file>